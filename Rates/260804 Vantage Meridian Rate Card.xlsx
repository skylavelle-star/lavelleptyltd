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gin Model" sheetId="1" state="visible" r:id="rId1"/>
    <sheet xmlns:r="http://schemas.openxmlformats.org/officeDocument/2006/relationships" name="Profit Model" sheetId="2" state="visible" r:id="rId2"/>
    <sheet xmlns:r="http://schemas.openxmlformats.org/officeDocument/2006/relationships" name="Client Rate Card" sheetId="3" state="visible" r:id="rId3"/>
    <sheet xmlns:r="http://schemas.openxmlformats.org/officeDocument/2006/relationships" name="Market Benchmark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\x"/>
    <numFmt numFmtId="165" formatCode="\$#,##0"/>
    <numFmt numFmtId="166" formatCode="0.0%"/>
    <numFmt numFmtId="167" formatCode="\$#,##0;&quot;($&quot;#,##0\)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family val="2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008000"/>
      <sz val="10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top" wrapText="1"/>
    </xf>
    <xf numFmtId="165" fontId="1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top" wrapText="1"/>
    </xf>
    <xf numFmtId="165" fontId="1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Sky's input, 4 Aug 2026: 1.6x standard to cover overheads and risk (insurances, tendering time, client management, no external capital). Applies to the developer roles; BA / Change / Test Manager are overridden to 1.40x in column E (revised 4 Aug 2026) to bring their charge-outs back to the market ceiling. Edit here to flex the standard; edit column E for per-role overrides.</t>
      </text>
    </comment>
    <comment ref="B7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7" authorId="0" shapeId="0">
      <text>
        <t>Role added 4 Aug 2026 (Sky: pay $550). Market band = The Network Brisbane 2–5 yr developer columns (Java/.NET 380–620 through Front End 525–810). Source: Sky, chat of 4 Aug 2026 (see 260804 LinkedIn Network and Team Build Summary.md).</t>
      </text>
    </comment>
    <comment ref="B8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8" authorId="0" shapeId="0">
      <text>
        <t>Candidates quoted $400–800/day; pay revised from $600 to $700, 4 Aug 2026. Source: Sky, chat of 4 Aug 2026 (see 260804 LinkedIn Network and Team Build Summary.md).</t>
      </text>
    </comment>
    <comment ref="B9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9" authorId="0" shapeId="0">
      <text>
        <t>Candidates quoted $400–800/day; pay revised from $800 to $850, 4 Aug 2026. Source: Sky, chat of 4 Aug 2026 (see 260804 LinkedIn Network and Team Build Summary.md).</t>
      </text>
    </comment>
    <comment ref="B10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10" authorId="0" shapeId="0">
      <text>
        <t>Candidate asked ~$1,100/day. Source: Sky, chat of 4 Aug 2026 (see 260804 LinkedIn Network and Team Build Summary.md).</t>
      </text>
    </comment>
    <comment ref="E10" authorId="0" shapeId="0">
      <text>
        <t>Multiplier overridden to 1.40 (Sky, 4 Aug 2026): the flat 1.6x put this role's charge-out above the QLD market ceiling; 1.4x lands it at the agency-billed top of market.</t>
      </text>
    </comment>
    <comment ref="B11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11" authorId="0" shapeId="0">
      <text>
        <t>Candidate asked ~$1,100/day. Source: Sky, chat of 4 Aug 2026 (see 260804 LinkedIn Network and Team Build Summary.md).</t>
      </text>
    </comment>
    <comment ref="E11" authorId="0" shapeId="0">
      <text>
        <t>Multiplier overridden to 1.40 (Sky, 4 Aug 2026): the flat 1.6x put this role's charge-out above the QLD market ceiling; 1.4x lands it at the agency-billed top of market.</t>
      </text>
    </comment>
    <comment ref="B12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12" authorId="0" shapeId="0">
      <text>
        <t>No test manager among the five yet — role priced for future hires (Sky, 4 Aug 2026). Source: Sky, chat of 4 Aug 2026 (see 260804 LinkedIn Network and Team Build Summary.md).</t>
      </text>
    </comment>
    <comment ref="E12" authorId="0" shapeId="0">
      <text>
        <t>Multiplier overridden to 1.40 (Sky, 4 Aug 2026): the flat 1.6x put this role's charge-out above the QLD market ceiling; 1.4x lands it at the agency-billed top of market.</t>
      </text>
    </comment>
    <comment ref="B13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13" authorId="0" shapeId="0">
      <text>
        <t>Role added 4 Aug 2026 (Sky: pay $600, charge at 1.4x). Pay benchmarked between Hays Brisbane perm content writer (~$95k typical, roughly $480–550/day contractor-equivalent) and Peoplebank QLD contract content roles (Content Manager 750–950, Content Writer 900–1,100). Charge-out $840 sits below the Peoplebank contractor band — deliberate value position. Source: Sky, chat of 4 Aug 2026 (see 260804 LinkedIn Network and Team Build Summary.md).</t>
      </text>
    </comment>
    <comment ref="E13" authorId="0" shapeId="0">
      <text>
        <t>Multiplier 1.40 set by Sky, 4 Aug 2026, for this role.</t>
      </text>
    </comment>
    <comment ref="B14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D14" authorId="0" shapeId="0">
      <text>
        <t>Role added 4 Aug 2026 (Sky: pay $800, charge at 1.4x). Benchmarked against The Network Brisbane UX/UI Designer senior bands (905–1,045 / 1,045–1,140) and Peoplebank QLD Digital Strategist (800–1,100). Charge-out $1,120 sits inside the senior contractor band. Source: Sky, chat of 4 Aug 2026 (see 260804 LinkedIn Network and Team Build Summary.md).</t>
      </text>
    </comment>
    <comment ref="E14" authorId="0" shapeId="0">
      <text>
        <t>Multiplier 1.40 set by Sky, 4 Aug 2026, for this role.</t>
      </text>
    </comment>
    <comment ref="B15" authorId="0" shapeId="0">
      <text>
        <t>Assumed split of the five committed joiners (1 BA, 1 CM, 1 frontend/CRM dev, 2 backend devs) — seniority of the three devs not yet confirmed; 2 mid + 1 senior assumed. Edit as offers land.</t>
      </text>
    </comment>
    <comment ref="F15" authorId="0" shapeId="0">
      <text>
        <t>Principal's own billing. No pay rate / multiplier — the whole day rate accrues to Vantage Meridian. Rate set at $1,550 (Sky, 4 Aug 2026: principal must be the highest-charged role). Slightly above the QLD Program Manager contractor top (Peoplebank 1,150-1,500; Network Brisbane 10+ yrs 1,380-1,475) but well inside the agency-billed ceiling (~1,800), and above the associate model's 1,250-1,400. Headcount 0 keeps principal billing OUT of the squad margin and profit totals; set to 1 to include it.</t>
      </text>
    </comment>
    <comment ref="B21" authorId="0" shapeId="0">
      <text>
        <t>Assumption: ~44 weeks × 5 days after leave, public holidays and bench time. Edit to test utilisation.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15" authorId="0" shapeId="0">
      <text>
        <t>Estimate for a small consultancy meeting typical Qld govt tender minimums. Get quotes (e.g. BizCover); update here.</t>
      </text>
    </comment>
    <comment ref="B16" authorId="0" shapeId="0">
      <text>
        <t>Often required on government panels. Estimate — quote needed.</t>
      </text>
    </comment>
    <comment ref="B17" authorId="0" shapeId="0">
      <text>
        <t>Company returns, BAS, bookkeeping. Estimate.</t>
      </text>
    </comment>
    <comment ref="B18" authorId="0" shapeId="0">
      <text>
        <t>Xero, Microsoft 365, project/CRM tooling. Estimate.</t>
      </text>
    </comment>
    <comment ref="B19" authorId="0" shapeId="0">
      <text>
        <t>Master agreement + sole-trader agreements year 1; includes restraint-clause review already planned. Estimate.</t>
      </text>
    </comment>
    <comment ref="B20" authorId="0" shapeId="0">
      <text>
        <t>Estimate.</t>
      </text>
    </comment>
    <comment ref="B21" authorId="0" shapeId="0">
      <text>
        <t>Estimate.</t>
      </text>
    </comment>
    <comment ref="B25" authorId="0" shapeId="0">
      <text>
        <t>Sole traders on e.g. 14-day terms vs clients on 30-day (often longer in govt). 4 weeks of team pay is the float you carry. With no capital, this may need an overdraft/invoice finance — rate below.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5" min="1" max="1"/>
    <col width="11" customWidth="1" style="45" min="2" max="2"/>
    <col width="13" customWidth="1" style="45" min="3" max="4"/>
    <col width="11" customWidth="1" style="45" min="5" max="5"/>
    <col width="13" customWidth="1" style="45" min="6" max="7"/>
    <col width="10" customWidth="1" style="45" min="8" max="8"/>
    <col width="13" customWidth="1" style="45" min="9" max="10"/>
    <col width="22" customWidth="1" style="45" min="11" max="11"/>
  </cols>
  <sheetData>
    <row r="1" ht="19.7" customHeight="1" s="46">
      <c r="A1" s="47" t="inlineStr">
        <is>
          <t>Vantage Meridian — Internal Margin Model</t>
        </is>
      </c>
    </row>
    <row r="2" ht="15" customHeight="1" s="46">
      <c r="A2" s="48" t="inlineStr">
        <is>
          <t>CONFIDENTIAL — internal only. Pay rates and multiplier must not be shared with clients or the team.</t>
        </is>
      </c>
    </row>
    <row r="3"/>
    <row r="4" ht="15" customHeight="1" s="46">
      <c r="A4" s="49" t="inlineStr">
        <is>
          <t>Standard charge-out multiplier</t>
        </is>
      </c>
      <c r="B4" s="50" t="n">
        <v>1.6</v>
      </c>
      <c r="C4" s="51" t="inlineStr">
        <is>
          <t>Covers insurances, unbillable principal time, tendering cost and commercial risk (no seed capital).</t>
        </is>
      </c>
    </row>
    <row r="5"/>
    <row r="6" ht="23.85" customHeight="1" s="46">
      <c r="A6" s="52" t="inlineStr">
        <is>
          <t>Role</t>
        </is>
      </c>
      <c r="B6" s="52" t="inlineStr">
        <is>
          <t>Head-count</t>
        </is>
      </c>
      <c r="C6" s="52" t="inlineStr">
        <is>
          <t>Candidate ask ($/day)</t>
        </is>
      </c>
      <c r="D6" s="52" t="inlineStr">
        <is>
          <t>Pay rate ($/day)</t>
        </is>
      </c>
      <c r="E6" s="52" t="inlineStr">
        <is>
          <t>Multiplier</t>
        </is>
      </c>
      <c r="F6" s="52" t="inlineStr">
        <is>
          <t>Charge-out ($/day)</t>
        </is>
      </c>
      <c r="G6" s="52" t="inlineStr">
        <is>
          <t>Gross margin ($/day)</t>
        </is>
      </c>
      <c r="H6" s="52" t="inlineStr">
        <is>
          <t>Margin %</t>
        </is>
      </c>
      <c r="I6" s="52" t="inlineStr">
        <is>
          <t>QLD market low ($/day)</t>
        </is>
      </c>
      <c r="J6" s="52" t="inlineStr">
        <is>
          <t>QLD market high ($/day)</t>
        </is>
      </c>
      <c r="K6" s="52" t="inlineStr">
        <is>
          <t>Position vs market</t>
        </is>
      </c>
    </row>
    <row r="7" ht="15" customHeight="1" s="46">
      <c r="A7" s="53" t="inlineStr">
        <is>
          <t>Developer — Junior</t>
        </is>
      </c>
      <c r="B7" s="54" t="n">
        <v>0</v>
      </c>
      <c r="C7" s="55" t="n"/>
      <c r="D7" s="56" t="n">
        <v>550</v>
      </c>
      <c r="E7" s="57">
        <f>$B$4</f>
        <v/>
      </c>
      <c r="F7" s="58">
        <f>D7*E7</f>
        <v/>
      </c>
      <c r="G7" s="58">
        <f>F7-D7</f>
        <v/>
      </c>
      <c r="H7" s="59">
        <f>IF(F7=0,0,G7/F7)</f>
        <v/>
      </c>
      <c r="I7" s="56" t="n">
        <v>400</v>
      </c>
      <c r="J7" s="56" t="n">
        <v>810</v>
      </c>
      <c r="K7" s="53">
        <f>IF(F7&gt;J7*1.15,"Above market ceiling",IF(F7&gt;J7,"Top of market","Within market"))</f>
        <v/>
      </c>
    </row>
    <row r="8" ht="15" customHeight="1" s="46">
      <c r="A8" s="53" t="inlineStr">
        <is>
          <t>Developer — Mid (Frontend / CRM / Backend)</t>
        </is>
      </c>
      <c r="B8" s="54" t="n">
        <v>2</v>
      </c>
      <c r="C8" s="55" t="n"/>
      <c r="D8" s="56" t="n">
        <v>700</v>
      </c>
      <c r="E8" s="57">
        <f>$B$4</f>
        <v/>
      </c>
      <c r="F8" s="58">
        <f>D8*E8</f>
        <v/>
      </c>
      <c r="G8" s="58">
        <f>F8-D8</f>
        <v/>
      </c>
      <c r="H8" s="59">
        <f>IF(F8=0,0,G8/F8)</f>
        <v/>
      </c>
      <c r="I8" s="56" t="n">
        <v>665</v>
      </c>
      <c r="J8" s="56" t="n">
        <v>905</v>
      </c>
      <c r="K8" s="53">
        <f>IF(F8&gt;J8*1.15,"Above market ceiling",IF(F8&gt;J8,"Top of market","Within market"))</f>
        <v/>
      </c>
    </row>
    <row r="9" ht="15" customHeight="1" s="46">
      <c r="A9" s="53" t="inlineStr">
        <is>
          <t>Developer — Senior</t>
        </is>
      </c>
      <c r="B9" s="54" t="n">
        <v>1</v>
      </c>
      <c r="C9" s="55" t="n"/>
      <c r="D9" s="56" t="n">
        <v>850</v>
      </c>
      <c r="E9" s="57">
        <f>$B$4</f>
        <v/>
      </c>
      <c r="F9" s="58">
        <f>D9*E9</f>
        <v/>
      </c>
      <c r="G9" s="58">
        <f>F9-D9</f>
        <v/>
      </c>
      <c r="H9" s="59">
        <f>IF(F9=0,0,G9/F9)</f>
        <v/>
      </c>
      <c r="I9" s="56" t="n">
        <v>760</v>
      </c>
      <c r="J9" s="56" t="n">
        <v>1235</v>
      </c>
      <c r="K9" s="53">
        <f>IF(F9&gt;J9*1.15,"Above market ceiling",IF(F9&gt;J9,"Top of market","Within market"))</f>
        <v/>
      </c>
    </row>
    <row r="10" ht="15" customHeight="1" s="46">
      <c r="A10" s="53" t="inlineStr">
        <is>
          <t>Business Analyst</t>
        </is>
      </c>
      <c r="B10" s="54" t="n">
        <v>1</v>
      </c>
      <c r="C10" s="56" t="n">
        <v>1100</v>
      </c>
      <c r="D10" s="56" t="n">
        <v>1000</v>
      </c>
      <c r="E10" s="57" t="n">
        <v>1.4</v>
      </c>
      <c r="F10" s="58">
        <f>D10*E10</f>
        <v/>
      </c>
      <c r="G10" s="58">
        <f>F10-D10</f>
        <v/>
      </c>
      <c r="H10" s="59">
        <f>IF(F10=0,0,G10/F10)</f>
        <v/>
      </c>
      <c r="I10" s="56" t="n">
        <v>900</v>
      </c>
      <c r="J10" s="56" t="n">
        <v>1215</v>
      </c>
      <c r="K10" s="53">
        <f>IF(F10&gt;J10*1.15,"Above market ceiling",IF(F10&gt;J10,"Top of market","Within market"))</f>
        <v/>
      </c>
    </row>
    <row r="11" ht="15" customHeight="1" s="46">
      <c r="A11" s="53" t="inlineStr">
        <is>
          <t>Change Manager</t>
        </is>
      </c>
      <c r="B11" s="54" t="n">
        <v>1</v>
      </c>
      <c r="C11" s="56" t="n">
        <v>1100</v>
      </c>
      <c r="D11" s="56" t="n">
        <v>1000</v>
      </c>
      <c r="E11" s="57" t="n">
        <v>1.4</v>
      </c>
      <c r="F11" s="58">
        <f>D11*E11</f>
        <v/>
      </c>
      <c r="G11" s="58">
        <f>F11-D11</f>
        <v/>
      </c>
      <c r="H11" s="59">
        <f>IF(F11=0,0,G11/F11)</f>
        <v/>
      </c>
      <c r="I11" s="56" t="n">
        <v>900</v>
      </c>
      <c r="J11" s="56" t="n">
        <v>1250</v>
      </c>
      <c r="K11" s="53">
        <f>IF(F11&gt;J11*1.15,"Above market ceiling",IF(F11&gt;J11,"Top of market","Within market"))</f>
        <v/>
      </c>
    </row>
    <row r="12" ht="15" customHeight="1" s="46">
      <c r="A12" s="53" t="inlineStr">
        <is>
          <t>Test Manager</t>
        </is>
      </c>
      <c r="B12" s="54" t="n">
        <v>0</v>
      </c>
      <c r="C12" s="55" t="n"/>
      <c r="D12" s="56" t="n">
        <v>1000</v>
      </c>
      <c r="E12" s="57" t="n">
        <v>1.4</v>
      </c>
      <c r="F12" s="58">
        <f>D12*E12</f>
        <v/>
      </c>
      <c r="G12" s="58">
        <f>F12-D12</f>
        <v/>
      </c>
      <c r="H12" s="59">
        <f>IF(F12=0,0,G12/F12)</f>
        <v/>
      </c>
      <c r="I12" s="56" t="n">
        <v>760</v>
      </c>
      <c r="J12" s="56" t="n">
        <v>1200</v>
      </c>
      <c r="K12" s="53">
        <f>IF(F12&gt;J12*1.15,"Above market ceiling",IF(F12&gt;J12,"Top of market","Within market"))</f>
        <v/>
      </c>
    </row>
    <row r="13" ht="15" customHeight="1" s="46">
      <c r="A13" s="53" t="inlineStr">
        <is>
          <t>Copywriter / Content Specialist</t>
        </is>
      </c>
      <c r="B13" s="54" t="n">
        <v>0</v>
      </c>
      <c r="C13" s="55" t="n"/>
      <c r="D13" s="56" t="n">
        <v>600</v>
      </c>
      <c r="E13" s="57" t="n">
        <v>1.4</v>
      </c>
      <c r="F13" s="58">
        <f>D13*E13</f>
        <v/>
      </c>
      <c r="G13" s="58">
        <f>F13-D13</f>
        <v/>
      </c>
      <c r="H13" s="59">
        <f>IF(F13=0,0,G13/F13)</f>
        <v/>
      </c>
      <c r="I13" s="56" t="n">
        <v>750</v>
      </c>
      <c r="J13" s="56" t="n">
        <v>1100</v>
      </c>
      <c r="K13" s="53">
        <f>IF(F13&gt;J13*1.15,"Above market ceiling",IF(F13&gt;J13,"Top of market","Within market"))</f>
        <v/>
      </c>
    </row>
    <row r="14" ht="15" customHeight="1" s="46">
      <c r="A14" s="53" t="inlineStr">
        <is>
          <t>Content / UX Strategist</t>
        </is>
      </c>
      <c r="B14" s="54" t="n">
        <v>0</v>
      </c>
      <c r="C14" s="55" t="n"/>
      <c r="D14" s="56" t="n">
        <v>800</v>
      </c>
      <c r="E14" s="57" t="n">
        <v>1.4</v>
      </c>
      <c r="F14" s="58">
        <f>D14*E14</f>
        <v/>
      </c>
      <c r="G14" s="58">
        <f>F14-D14</f>
        <v/>
      </c>
      <c r="H14" s="59">
        <f>IF(F14=0,0,G14/F14)</f>
        <v/>
      </c>
      <c r="I14" s="56" t="n">
        <v>800</v>
      </c>
      <c r="J14" s="56" t="n">
        <v>1140</v>
      </c>
      <c r="K14" s="53">
        <f>IF(F14&gt;J14*1.15,"Above market ceiling",IF(F14&gt;J14,"Top of market","Within market"))</f>
        <v/>
      </c>
    </row>
    <row r="15" ht="15" customHeight="1" s="46">
      <c r="A15" s="53" t="inlineStr">
        <is>
          <t>Principal — Program &amp; Delivery Leadership (Sky)</t>
        </is>
      </c>
      <c r="B15" s="54" t="n">
        <v>0</v>
      </c>
      <c r="C15" s="55" t="n"/>
      <c r="D15" s="55" t="n"/>
      <c r="E15" s="53" t="n"/>
      <c r="F15" s="58" t="n">
        <v>1550</v>
      </c>
      <c r="G15" s="58">
        <f>F15-D15</f>
        <v/>
      </c>
      <c r="H15" s="59">
        <f>IF(F15=0,0,G15/F15)</f>
        <v/>
      </c>
      <c r="I15" s="56" t="n">
        <v>1150</v>
      </c>
      <c r="J15" s="56" t="n">
        <v>1500</v>
      </c>
      <c r="K15" s="53">
        <f>IF(F15&gt;J15*1.15,"Above market ceiling",IF(F15&gt;J15,"Top of market","Within market"))</f>
        <v/>
      </c>
    </row>
    <row r="16"/>
    <row r="17" ht="15" customHeight="1" s="46">
      <c r="A17" s="60" t="inlineStr">
        <is>
          <t>Market low/high = QLD/Brisbane contractor day rates (mid–senior span) from Peoplebank Aug 2025 and The Network 2025 — see Market Benchmarks sheet for the underlying rows. Guide rates are what the contractor receives; a client buying through an agency typically pays ~10–20% on top, so 'Above market ceiling' means the charge-out exceeds even the agency-billed top (market high × 1.15).</t>
        </is>
      </c>
    </row>
    <row r="18" ht="15" customHeight="1" s="46"/>
    <row r="19"/>
    <row r="20" ht="15" customHeight="1" s="46">
      <c r="A20" s="49" t="inlineStr">
        <is>
          <t>Annual gross margin (whole squad)</t>
        </is>
      </c>
    </row>
    <row r="21" ht="15" customHeight="1" s="46">
      <c r="A21" s="61" t="inlineStr">
        <is>
          <t>Billable days per person per year</t>
        </is>
      </c>
      <c r="B21" s="62" t="n">
        <v>220</v>
      </c>
    </row>
    <row r="22" ht="15" customHeight="1" s="46">
      <c r="A22" s="61" t="inlineStr">
        <is>
          <t>Gross margin per year at full utilisation</t>
        </is>
      </c>
      <c r="B22" s="63">
        <f>SUMPRODUCT(B7:B15,G7:G15)*B21</f>
        <v/>
      </c>
    </row>
    <row r="23" ht="15" customHeight="1" s="46">
      <c r="A23" s="60" t="inlineStr">
        <is>
          <t>This margin funds: PI/PL insurance, workers comp equivalents, software, accounting, tender responses, principal oversight time, payment-term gap (Vantage Meridian pays sole traders before clients pay Vantage Meridian) and profit.</t>
        </is>
      </c>
    </row>
    <row r="24" ht="15" customHeight="1" s="46"/>
    <row r="25"/>
    <row r="26" ht="15" customHeight="1" s="46">
      <c r="A26" s="49" t="inlineStr">
        <is>
          <t>Legend</t>
        </is>
      </c>
    </row>
    <row r="27" ht="15" customHeight="1" s="46">
      <c r="A27" s="64" t="inlineStr">
        <is>
          <t>Blue text = hardcoded input (edit freely)</t>
        </is>
      </c>
    </row>
    <row r="28" ht="15" customHeight="1" s="46">
      <c r="A28" s="65" t="inlineStr">
        <is>
          <t>Yellow fill = key assumption / scenario lever</t>
        </is>
      </c>
    </row>
    <row r="29" ht="15" customHeight="1" s="46">
      <c r="A29" s="61" t="inlineStr">
        <is>
          <t>Black = formula — do not overtype</t>
        </is>
      </c>
    </row>
  </sheetData>
  <mergeCells count="2">
    <mergeCell ref="A23:H24"/>
    <mergeCell ref="A17:K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5" min="1" max="1"/>
    <col width="14" customWidth="1" style="45" min="2" max="4"/>
    <col width="6" customWidth="1" style="45" min="5" max="5"/>
    <col width="40" customWidth="1" style="45" min="6" max="6"/>
  </cols>
  <sheetData>
    <row r="1" ht="19.7" customHeight="1" s="46">
      <c r="A1" s="47" t="inlineStr">
        <is>
          <t>Vantage Meridian — Profit Model (annual)</t>
        </is>
      </c>
    </row>
    <row r="2" ht="15" customHeight="1" s="46">
      <c r="A2" s="48" t="inlineStr">
        <is>
          <t>CONFIDENTIAL — internal only. Squad of five as per Margin Model. All overhead figures are estimates in blue — replace with real quotes as they arrive.</t>
        </is>
      </c>
    </row>
    <row r="3"/>
    <row r="4" ht="15" customHeight="1" s="46">
      <c r="A4" s="61" t="inlineStr">
        <is>
          <t>Charge-out per squad day (all 5 billed)</t>
        </is>
      </c>
      <c r="B4" s="66">
        <f>SUMPRODUCT('Margin Model'!B7:B15,'Margin Model'!F7:F15)</f>
        <v/>
      </c>
    </row>
    <row r="5" ht="15" customHeight="1" s="46">
      <c r="A5" s="61" t="inlineStr">
        <is>
          <t>Pay per squad day (all 5 working)</t>
        </is>
      </c>
      <c r="B5" s="66">
        <f>SUMPRODUCT('Margin Model'!B7:B15,'Margin Model'!D7:D15)</f>
        <v/>
      </c>
    </row>
    <row r="6"/>
    <row r="7" ht="15" customHeight="1" s="46">
      <c r="A7" s="67" t="inlineStr">
        <is>
          <t>Utilisation scenario</t>
        </is>
      </c>
      <c r="B7" s="68" t="inlineStr">
        <is>
          <t>Full utilisation</t>
        </is>
      </c>
      <c r="C7" s="68" t="inlineStr">
        <is>
          <t>Realistic (85%)</t>
        </is>
      </c>
      <c r="D7" s="68" t="inlineStr">
        <is>
          <t>Slow start (70%)</t>
        </is>
      </c>
    </row>
    <row r="8" ht="15" customHeight="1" s="46">
      <c r="A8" s="61" t="inlineStr">
        <is>
          <t>Utilisation %</t>
        </is>
      </c>
      <c r="B8" s="69" t="n">
        <v>1</v>
      </c>
      <c r="C8" s="69" t="n">
        <v>0.85</v>
      </c>
      <c r="D8" s="69" t="n">
        <v>0.7</v>
      </c>
    </row>
    <row r="9" ht="15" customHeight="1" s="46">
      <c r="A9" s="61" t="inlineStr">
        <is>
          <t>Billable days per person</t>
        </is>
      </c>
      <c r="B9" s="70">
        <f>'Margin Model'!$B$21*B8</f>
        <v/>
      </c>
      <c r="C9" s="70">
        <f>'Margin Model'!$B$21*C8</f>
        <v/>
      </c>
      <c r="D9" s="70">
        <f>'Margin Model'!$B$21*D8</f>
        <v/>
      </c>
    </row>
    <row r="10" ht="15" customHeight="1" s="46">
      <c r="A10" s="49" t="inlineStr">
        <is>
          <t>Revenue</t>
        </is>
      </c>
      <c r="B10" s="71">
        <f>$B$4*B9</f>
        <v/>
      </c>
      <c r="C10" s="71">
        <f>$B$4*C9</f>
        <v/>
      </c>
      <c r="D10" s="71">
        <f>$B$4*D9</f>
        <v/>
      </c>
    </row>
    <row r="11" ht="15" customHeight="1" s="46">
      <c r="A11" s="61" t="inlineStr">
        <is>
          <t>less Team pay (sole-trader invoices)</t>
        </is>
      </c>
      <c r="B11" s="72">
        <f>-$B$5*B9</f>
        <v/>
      </c>
      <c r="C11" s="72">
        <f>-$B$5*C9</f>
        <v/>
      </c>
      <c r="D11" s="72">
        <f>-$B$5*D9</f>
        <v/>
      </c>
    </row>
    <row r="12" ht="15" customHeight="1" s="46">
      <c r="A12" s="49" t="inlineStr">
        <is>
          <t>Gross margin</t>
        </is>
      </c>
      <c r="B12" s="73">
        <f>B10+B11</f>
        <v/>
      </c>
      <c r="C12" s="73">
        <f>C10+C11</f>
        <v/>
      </c>
      <c r="D12" s="73">
        <f>D10+D11</f>
        <v/>
      </c>
    </row>
    <row r="13"/>
    <row r="14" ht="15" customHeight="1" s="46">
      <c r="A14" s="49" t="inlineStr">
        <is>
          <t>Overheads (annual estimates — edit blue cells)</t>
        </is>
      </c>
    </row>
    <row r="15" ht="15" customHeight="1" s="46">
      <c r="A15" s="61" t="inlineStr">
        <is>
          <t>PI ($10M) + PL ($20M) insurance</t>
        </is>
      </c>
      <c r="B15" s="56" t="n">
        <v>6000</v>
      </c>
      <c r="C15" s="58">
        <f>$B15</f>
        <v/>
      </c>
      <c r="D15" s="58">
        <f>$B15</f>
        <v/>
      </c>
    </row>
    <row r="16" ht="15" customHeight="1" s="46">
      <c r="A16" s="61" t="inlineStr">
        <is>
          <t>Cyber insurance</t>
        </is>
      </c>
      <c r="B16" s="56" t="n">
        <v>2500</v>
      </c>
      <c r="C16" s="58">
        <f>$B16</f>
        <v/>
      </c>
      <c r="D16" s="58">
        <f>$B16</f>
        <v/>
      </c>
    </row>
    <row r="17" ht="15" customHeight="1" s="46">
      <c r="A17" s="61" t="inlineStr">
        <is>
          <t>Accounting, bookkeeping &amp; tax agent</t>
        </is>
      </c>
      <c r="B17" s="56" t="n">
        <v>7000</v>
      </c>
      <c r="C17" s="58">
        <f>$B17</f>
        <v/>
      </c>
      <c r="D17" s="58">
        <f>$B17</f>
        <v/>
      </c>
    </row>
    <row r="18" ht="15" customHeight="1" s="46">
      <c r="A18" s="61" t="inlineStr">
        <is>
          <t>Software &amp; subscriptions</t>
        </is>
      </c>
      <c r="B18" s="56" t="n">
        <v>4000</v>
      </c>
      <c r="C18" s="58">
        <f>$B18</f>
        <v/>
      </c>
      <c r="D18" s="58">
        <f>$B18</f>
        <v/>
      </c>
    </row>
    <row r="19" ht="15" customHeight="1" s="46">
      <c r="A19" s="61" t="inlineStr">
        <is>
          <t>Legal</t>
        </is>
      </c>
      <c r="B19" s="56" t="n">
        <v>5000</v>
      </c>
      <c r="C19" s="58">
        <f>$B19</f>
        <v/>
      </c>
      <c r="D19" s="58">
        <f>$B19</f>
        <v/>
      </c>
    </row>
    <row r="20" ht="15" customHeight="1" s="46">
      <c r="A20" s="61" t="inlineStr">
        <is>
          <t>Marketing, website, LinkedIn</t>
        </is>
      </c>
      <c r="B20" s="56" t="n">
        <v>2500</v>
      </c>
      <c r="C20" s="58">
        <f>$B20</f>
        <v/>
      </c>
      <c r="D20" s="58">
        <f>$B20</f>
        <v/>
      </c>
    </row>
    <row r="21" ht="15" customHeight="1" s="46">
      <c r="A21" s="61" t="inlineStr">
        <is>
          <t>ASIC, registrations, misc</t>
        </is>
      </c>
      <c r="B21" s="56" t="n">
        <v>1000</v>
      </c>
      <c r="C21" s="58">
        <f>$B21</f>
        <v/>
      </c>
      <c r="D21" s="58">
        <f>$B21</f>
        <v/>
      </c>
    </row>
    <row r="22" ht="15" customHeight="1" s="46">
      <c r="A22" s="61" t="inlineStr">
        <is>
          <t>Bad debt / late payment provision (1% of revenue)</t>
        </is>
      </c>
      <c r="B22" s="58">
        <f>B10*$B$24</f>
        <v/>
      </c>
      <c r="C22" s="58">
        <f>C10*$B$24</f>
        <v/>
      </c>
      <c r="D22" s="58">
        <f>D10*$B$24</f>
        <v/>
      </c>
    </row>
    <row r="23" ht="15" customHeight="1" s="46">
      <c r="A23" s="61" t="inlineStr">
        <is>
          <t>Working-capital financing (you pay the team before clients pay you)</t>
        </is>
      </c>
      <c r="B23" s="58">
        <f>-B11*($B$25/52)*$B$26</f>
        <v/>
      </c>
      <c r="C23" s="58">
        <f>-C11*($B$25/52)*$B$26</f>
        <v/>
      </c>
      <c r="D23" s="58">
        <f>-D11*($B$25/52)*$B$26</f>
        <v/>
      </c>
    </row>
    <row r="24" ht="15" customHeight="1" s="46">
      <c r="A24" s="51" t="inlineStr">
        <is>
          <t>Provision rate for bad debt</t>
        </is>
      </c>
      <c r="B24" s="74" t="n">
        <v>0.01</v>
      </c>
    </row>
    <row r="25" ht="15" customHeight="1" s="46">
      <c r="A25" s="51" t="inlineStr">
        <is>
          <t>Payment gap (weeks between paying team and being paid)</t>
        </is>
      </c>
      <c r="B25" s="62" t="n">
        <v>4</v>
      </c>
    </row>
    <row r="26" ht="15" customHeight="1" s="46">
      <c r="A26" s="51" t="inlineStr">
        <is>
          <t>Financing rate on the float</t>
        </is>
      </c>
      <c r="B26" s="74" t="n">
        <v>0.1</v>
      </c>
    </row>
    <row r="27"/>
    <row r="28" ht="15" customHeight="1" s="46">
      <c r="A28" s="49" t="inlineStr">
        <is>
          <t>Total overheads</t>
        </is>
      </c>
      <c r="B28" s="73">
        <f>SUM(B15:B23)</f>
        <v/>
      </c>
      <c r="C28" s="73">
        <f>SUM(C15:C23)</f>
        <v/>
      </c>
      <c r="D28" s="73">
        <f>SUM(D15:D23)</f>
        <v/>
      </c>
    </row>
    <row r="29"/>
    <row r="30" ht="15" customHeight="1" s="46">
      <c r="A30" s="49" t="inlineStr">
        <is>
          <t>OPERATING PROFIT — before paying yourself, before company tax</t>
        </is>
      </c>
      <c r="B30" s="75">
        <f>B12-B28</f>
        <v/>
      </c>
      <c r="C30" s="75">
        <f>C12-C28</f>
        <v/>
      </c>
      <c r="D30" s="75">
        <f>D12-D28</f>
        <v/>
      </c>
    </row>
    <row r="31" ht="15" customHeight="1" s="46">
      <c r="A31" s="61" t="inlineStr">
        <is>
          <t>Operating margin (% of revenue)</t>
        </is>
      </c>
      <c r="B31" s="59">
        <f>IF(B10=0,0,B30/B10)</f>
        <v/>
      </c>
      <c r="C31" s="59">
        <f>IF(C10=0,0,C30/C10)</f>
        <v/>
      </c>
      <c r="D31" s="59">
        <f>IF(D10=0,0,D30/D10)</f>
        <v/>
      </c>
    </row>
    <row r="32"/>
    <row r="33" ht="15" customHeight="1" s="46">
      <c r="A33" s="51" t="inlineStr">
        <is>
          <t>Memo: company tax at 25% if profit retained in Lavelle Pty Ltd</t>
        </is>
      </c>
      <c r="B33" s="76">
        <f>B30*0.25</f>
        <v/>
      </c>
      <c r="C33" s="76">
        <f>C30*0.25</f>
        <v/>
      </c>
      <c r="D33" s="76">
        <f>D30*0.25</f>
        <v/>
      </c>
    </row>
    <row r="34"/>
    <row r="35" ht="15" customHeight="1" s="46">
      <c r="A35" s="60" t="inlineStr">
        <is>
          <t>What this profit still has to fund: (1) YOUR pay — by default the Principal row (Margin Model row 15, $1,550/day) has headcount 0, so your own billing is NOT in these numbers; set its headcount to 1 to include it. Running the squad still takes ~1 day/week of unbillable principal time (client management, tendering, oversight) — $55k–$65k/yr of forgone billing at your rate. (2) Anything not listed above. Not modelled, verify with your accountant: Qld payroll tax — payments to contractors under 'relevant contracts' can count as taxable wages; squad pay at full utilisation (~$880k) is under the $1.3M threshold, but adding yourself + growth could cross it. Also confirm WorkCover Qld treatment of the sole traders.</t>
        </is>
      </c>
    </row>
    <row r="36" ht="15" customHeight="1" s="46"/>
    <row r="37" ht="15" customHeight="1" s="46"/>
    <row r="38" ht="15" customHeight="1" s="46"/>
    <row r="39" ht="15" customHeight="1" s="46"/>
    <row r="40"/>
    <row r="41" ht="15" customHeight="1" s="46">
      <c r="A41" s="51" t="inlineStr">
        <is>
          <t>Blue = estimate to replace with real quotes  |  Yellow = scenario lever  |  Green = pulled from Margin Model  |  Black = formula</t>
        </is>
      </c>
    </row>
  </sheetData>
  <mergeCells count="2">
    <mergeCell ref="A2:F2"/>
    <mergeCell ref="A35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5" min="1" max="1"/>
    <col width="62" customWidth="1" style="45" min="2" max="2"/>
    <col width="18" customWidth="1" style="45" min="3" max="3"/>
  </cols>
  <sheetData>
    <row r="1" ht="19.7" customHeight="1" s="46">
      <c r="A1" s="47" t="inlineStr">
        <is>
          <t>Vantage Meridian</t>
        </is>
      </c>
    </row>
    <row r="2" ht="15" customHeight="1" s="46">
      <c r="A2" s="77" t="inlineStr">
        <is>
          <t>Professional Services Rate Card — effective August 2026</t>
        </is>
      </c>
    </row>
    <row r="3" ht="15" customHeight="1" s="46">
      <c r="A3" s="48" t="inlineStr">
        <is>
          <t>All rates AUD per day, exclusive of GST. Valid for 90 days from issue.</t>
        </is>
      </c>
    </row>
    <row r="4"/>
    <row r="5" ht="23.85" customHeight="1" s="46">
      <c r="A5" s="78" t="inlineStr">
        <is>
          <t>Role</t>
        </is>
      </c>
      <c r="B5" s="78" t="inlineStr">
        <is>
          <t>Scope of service</t>
        </is>
      </c>
      <c r="C5" s="52" t="inlineStr">
        <is>
          <t>Day rate (AUD, ex GST)</t>
        </is>
      </c>
    </row>
    <row r="6" ht="42" customHeight="1" s="46">
      <c r="A6" s="79" t="inlineStr">
        <is>
          <t>Principal Consultant — Program &amp; Delivery Leadership</t>
        </is>
      </c>
      <c r="B6" s="80" t="inlineStr">
        <is>
          <t>Program and project leadership, delivery recovery, business cases and options analysis, executive stakeholder management, vendor and RFP management, delivery assurance.</t>
        </is>
      </c>
      <c r="C6" s="81">
        <f>'Margin Model'!F15</f>
        <v/>
      </c>
    </row>
    <row r="7" ht="42" customHeight="1" s="46">
      <c r="A7" s="82" t="inlineStr">
        <is>
          <t>Developer — Junior</t>
        </is>
      </c>
      <c r="B7" s="83" t="inlineStr">
        <is>
          <t>Feature development and defect resolution under senior technical direction; unit testing, documentation, full participation in sprint ceremonies.</t>
        </is>
      </c>
      <c r="C7" s="84">
        <f>'Margin Model'!F7</f>
        <v/>
      </c>
    </row>
    <row r="8" ht="42" customHeight="1" s="46">
      <c r="A8" s="79" t="inlineStr">
        <is>
          <t>Developer — Mid-level</t>
        </is>
      </c>
      <c r="B8" s="80" t="inlineStr">
        <is>
          <t>Frontend, CRM and backend development within an established technical direction; sprint delivery, code review participation, documentation.</t>
        </is>
      </c>
      <c r="C8" s="81">
        <f>'Margin Model'!F8</f>
        <v/>
      </c>
    </row>
    <row r="9" ht="42" customHeight="1" s="46">
      <c r="A9" s="82" t="inlineStr">
        <is>
          <t>Developer — Senior</t>
        </is>
      </c>
      <c r="B9" s="83" t="inlineStr">
        <is>
          <t>Complex feature and integration delivery, technical design input, mentoring of junior and mid-level developers, production support.</t>
        </is>
      </c>
      <c r="C9" s="84">
        <f>'Margin Model'!F9</f>
        <v/>
      </c>
    </row>
    <row r="10" ht="42" customHeight="1" s="46">
      <c r="A10" s="79" t="inlineStr">
        <is>
          <t>Business Analyst</t>
        </is>
      </c>
      <c r="B10" s="80" t="inlineStr">
        <is>
          <t>Requirements elicitation and analysis, process mapping, user stories and acceptance criteria, stakeholder workshops, options and business case support.</t>
        </is>
      </c>
      <c r="C10" s="81">
        <f>'Margin Model'!F10</f>
        <v/>
      </c>
    </row>
    <row r="11" ht="42" customHeight="1" s="46">
      <c r="A11" s="82" t="inlineStr">
        <is>
          <t>Change Manager</t>
        </is>
      </c>
      <c r="B11" s="83" t="inlineStr">
        <is>
          <t>Change impact assessment, stakeholder engagement and communications, training strategy and delivery, adoption measurement.</t>
        </is>
      </c>
      <c r="C11" s="84">
        <f>'Margin Model'!F11</f>
        <v/>
      </c>
    </row>
    <row r="12" ht="42" customHeight="1" s="46">
      <c r="A12" s="79" t="inlineStr">
        <is>
          <t>Test Manager</t>
        </is>
      </c>
      <c r="B12" s="80" t="inlineStr">
        <is>
          <t>Test strategy and planning, test team coordination, defect triage and reporting, UAT management, go-live readiness assessment.</t>
        </is>
      </c>
      <c r="C12" s="81">
        <f>'Margin Model'!F12</f>
        <v/>
      </c>
    </row>
    <row r="13" ht="42" customHeight="1" s="46">
      <c r="A13" s="82" t="inlineStr">
        <is>
          <t>Copywriter / Content Specialist</t>
        </is>
      </c>
      <c r="B13" s="83" t="inlineStr">
        <is>
          <t>Web, campaign and product copy; content design and tone-of-voice application; editing, content migration and publication support within delivery programs.</t>
        </is>
      </c>
      <c r="C13" s="84">
        <f>'Margin Model'!F13</f>
        <v/>
      </c>
    </row>
    <row r="14" ht="42" customHeight="1" s="46">
      <c r="A14" s="79" t="inlineStr">
        <is>
          <t>Content / UX Strategist</t>
        </is>
      </c>
      <c r="B14" s="80" t="inlineStr">
        <is>
          <t>Content strategy and information architecture, UX research and journey mapping, content design standards, experience strategy within delivery programs.</t>
        </is>
      </c>
      <c r="C14" s="81">
        <f>'Margin Model'!F14</f>
        <v/>
      </c>
    </row>
    <row r="15" ht="15" customHeight="1" s="46">
      <c r="A15" s="49" t="inlineStr">
        <is>
          <t>Terms</t>
        </is>
      </c>
    </row>
    <row r="16" ht="22.35" customHeight="1" s="46">
      <c r="A16" s="60" t="inlineStr">
        <is>
          <t>• Rates are inclusive of all on-costs: professional indemnity and public liability insurance, engagement management and senior principal oversight on every engagement.</t>
        </is>
      </c>
    </row>
    <row r="17" ht="15" customHeight="1" s="46">
      <c r="A17" s="60" t="inlineStr">
        <is>
          <t>• Delivery is by Vantage Meridian's established practitioner network under Vantage Meridian master agreements — one contract, one invoice, no agency layering.</t>
        </is>
      </c>
    </row>
    <row r="18" ht="15" customHeight="1" s="46">
      <c r="A18" s="60" t="inlineStr">
        <is>
          <t>• Team members work from client site or remotely and provide their own equipment.</t>
        </is>
      </c>
    </row>
    <row r="19" ht="15" customHeight="1" s="46">
      <c r="A19" s="60" t="inlineStr">
        <is>
          <t>• Fixed-price and outcome-based pricing available on request for defined scopes.</t>
        </is>
      </c>
    </row>
    <row r="20"/>
    <row r="21" ht="15" customHeight="1" s="46">
      <c r="A21" s="48" t="inlineStr">
        <is>
          <t>Vantage Meridian  |  skylavelle@vantagemeridian.com.au</t>
        </is>
      </c>
    </row>
    <row r="22"/>
    <row r="23" ht="15" customHeight="1" s="46">
      <c r="A23" s="85" t="inlineStr">
        <is>
          <t>[Internal note — delete before sending: rate cells link to the Margin Model sheet; export this sheet as values/PDF only.]</t>
        </is>
      </c>
    </row>
  </sheetData>
  <mergeCells count="4">
    <mergeCell ref="A17:C17"/>
    <mergeCell ref="A18:C18"/>
    <mergeCell ref="A19:C19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45" min="1" max="1"/>
    <col width="16" customWidth="1" style="45" min="2" max="4"/>
    <col width="46" customWidth="1" style="45" min="5" max="5"/>
  </cols>
  <sheetData>
    <row r="1" ht="19.7" customHeight="1" s="46">
      <c r="A1" s="47" t="inlineStr">
        <is>
          <t>Market Benchmarks — QLD / Brisbane</t>
        </is>
      </c>
    </row>
    <row r="2" ht="23.85" customHeight="1" s="46">
      <c r="A2" s="86" t="inlineStr">
        <is>
          <t>Extracted 4 Aug 2026 from the three guides held in Tenders/Rates. Contract figures are day rates paid to the contractor; client-billed cost via an agency is typically ~10–20% higher.</t>
        </is>
      </c>
    </row>
    <row r="3"/>
    <row r="4" ht="15" customHeight="1" s="46">
      <c r="A4" s="87" t="inlineStr">
        <is>
          <t>Peoplebank Salary Guide — QLD contract day rates</t>
        </is>
      </c>
    </row>
    <row r="5" ht="15" customHeight="1" s="46">
      <c r="A5" s="51" t="inlineStr">
        <is>
          <t>Source: Peoplebank Salary Guide August 2025, QLD columns of the Business Applications, Developers, Testers and Project Services tables (rates are daily, AUD).</t>
        </is>
      </c>
    </row>
    <row r="6" ht="15" customHeight="1" s="46">
      <c r="A6" s="88" t="inlineStr">
        <is>
          <t>Role</t>
        </is>
      </c>
      <c r="B6" s="88" t="inlineStr">
        <is>
          <t>Low ($/day)</t>
        </is>
      </c>
      <c r="C6" s="88" t="inlineStr">
        <is>
          <t>High ($/day)</t>
        </is>
      </c>
      <c r="D6" s="88" t="n"/>
      <c r="E6" s="88" t="inlineStr">
        <is>
          <t>Note</t>
        </is>
      </c>
    </row>
    <row r="7" ht="15" customHeight="1" s="46">
      <c r="A7" s="53" t="inlineStr">
        <is>
          <t>Business Analyst</t>
        </is>
      </c>
      <c r="B7" s="53" t="n">
        <v>900</v>
      </c>
      <c r="C7" s="53" t="n">
        <v>1100</v>
      </c>
      <c r="D7" s="53" t="n"/>
      <c r="E7" s="53" t="n"/>
    </row>
    <row r="8" ht="15" customHeight="1" s="46">
      <c r="A8" s="53" t="inlineStr">
        <is>
          <t>Principal / Lead BA</t>
        </is>
      </c>
      <c r="B8" s="53" t="n">
        <v>1000</v>
      </c>
      <c r="C8" s="53" t="n">
        <v>1250</v>
      </c>
      <c r="D8" s="53" t="n"/>
      <c r="E8" s="53" t="n"/>
    </row>
    <row r="9" ht="15" customHeight="1" s="46">
      <c r="A9" s="53" t="inlineStr">
        <is>
          <t>Change Manager — Organisational</t>
        </is>
      </c>
      <c r="B9" s="53" t="n">
        <v>900</v>
      </c>
      <c r="C9" s="53" t="n">
        <v>1250</v>
      </c>
      <c r="D9" s="53" t="n"/>
      <c r="E9" s="53" t="n"/>
    </row>
    <row r="10" ht="15" customHeight="1" s="46">
      <c r="A10" s="53" t="inlineStr">
        <is>
          <t>Change Lead</t>
        </is>
      </c>
      <c r="B10" s="53" t="n">
        <v>850</v>
      </c>
      <c r="C10" s="53" t="n">
        <v>1100</v>
      </c>
      <c r="D10" s="53" t="n"/>
      <c r="E10" s="53" t="n"/>
    </row>
    <row r="11" ht="15" customHeight="1" s="46">
      <c r="A11" s="53" t="inlineStr">
        <is>
          <t>Test Manager</t>
        </is>
      </c>
      <c r="B11" s="53" t="n">
        <v>950</v>
      </c>
      <c r="C11" s="53" t="n">
        <v>1200</v>
      </c>
      <c r="D11" s="53" t="n"/>
      <c r="E11" s="53" t="n"/>
    </row>
    <row r="12" ht="15" customHeight="1" s="46">
      <c r="A12" s="53" t="inlineStr">
        <is>
          <t>Test Lead</t>
        </is>
      </c>
      <c r="B12" s="53" t="n">
        <v>950</v>
      </c>
      <c r="C12" s="53" t="n">
        <v>1050</v>
      </c>
      <c r="D12" s="53" t="n"/>
      <c r="E12" s="53" t="n"/>
    </row>
    <row r="13" ht="15" customHeight="1" s="46">
      <c r="A13" s="53" t="inlineStr">
        <is>
          <t>Developer — .NET / Java</t>
        </is>
      </c>
      <c r="B13" s="53" t="n">
        <v>800</v>
      </c>
      <c r="C13" s="53" t="n">
        <v>1100</v>
      </c>
      <c r="D13" s="53" t="n"/>
      <c r="E13" s="53" t="inlineStr">
        <is>
          <t>Same QLD band for .NET and Java</t>
        </is>
      </c>
    </row>
    <row r="14" ht="15" customHeight="1" s="46">
      <c r="A14" s="53" t="inlineStr">
        <is>
          <t>Developer — Front End / Back End / Full Stack</t>
        </is>
      </c>
      <c r="B14" s="53" t="n">
        <v>800</v>
      </c>
      <c r="C14" s="53" t="n">
        <v>1100</v>
      </c>
      <c r="D14" s="53" t="n"/>
      <c r="E14" s="53" t="n"/>
    </row>
    <row r="15" ht="15" customHeight="1" s="46">
      <c r="A15" s="53" t="inlineStr">
        <is>
          <t>Web Developer</t>
        </is>
      </c>
      <c r="B15" s="53" t="n">
        <v>750</v>
      </c>
      <c r="C15" s="53" t="n">
        <v>1200</v>
      </c>
      <c r="D15" s="53" t="n"/>
      <c r="E15" s="53" t="n"/>
    </row>
    <row r="16" ht="15" customHeight="1" s="46">
      <c r="A16" s="53" t="inlineStr">
        <is>
          <t>Technical Lead</t>
        </is>
      </c>
      <c r="B16" s="53" t="n">
        <v>1000</v>
      </c>
      <c r="C16" s="53" t="n">
        <v>1300</v>
      </c>
      <c r="D16" s="53" t="n"/>
      <c r="E16" s="53" t="n"/>
    </row>
    <row r="17" ht="15" customHeight="1" s="46">
      <c r="A17" s="53" t="inlineStr">
        <is>
          <t>Project Manager — Applications</t>
        </is>
      </c>
      <c r="B17" s="53" t="n">
        <v>900</v>
      </c>
      <c r="C17" s="53" t="n">
        <v>1200</v>
      </c>
      <c r="D17" s="53" t="n"/>
      <c r="E17" s="53" t="n"/>
    </row>
    <row r="18" ht="15" customHeight="1" s="46">
      <c r="A18" s="53" t="inlineStr">
        <is>
          <t>Program Manager</t>
        </is>
      </c>
      <c r="B18" s="53" t="n">
        <v>1150</v>
      </c>
      <c r="C18" s="53" t="n">
        <v>1500</v>
      </c>
      <c r="D18" s="53" t="n"/>
      <c r="E18" s="53" t="inlineStr">
        <is>
          <t>Principal rate benchmark</t>
        </is>
      </c>
    </row>
    <row r="19" ht="15" customHeight="1" s="46">
      <c r="A19" s="53" t="inlineStr">
        <is>
          <t>Content Manager</t>
        </is>
      </c>
      <c r="B19" s="53" t="n">
        <v>750</v>
      </c>
      <c r="C19" s="53" t="n">
        <v>950</v>
      </c>
      <c r="D19" s="53" t="n"/>
      <c r="E19" s="53" t="inlineStr">
        <is>
          <t>Copywriter benchmark</t>
        </is>
      </c>
    </row>
    <row r="20" ht="15" customHeight="1" s="46">
      <c r="A20" s="53" t="inlineStr">
        <is>
          <t>Content Writer</t>
        </is>
      </c>
      <c r="B20" s="53" t="n">
        <v>900</v>
      </c>
      <c r="C20" s="53" t="n">
        <v>1100</v>
      </c>
      <c r="D20" s="53" t="n"/>
      <c r="E20" s="53" t="inlineStr">
        <is>
          <t>Copywriter benchmark — digital/UX content skew</t>
        </is>
      </c>
    </row>
    <row r="21" ht="15" customHeight="1" s="46">
      <c r="A21" s="53" t="inlineStr">
        <is>
          <t>Digital Strategist</t>
        </is>
      </c>
      <c r="B21" s="53" t="n">
        <v>800</v>
      </c>
      <c r="C21" s="53" t="n">
        <v>1100</v>
      </c>
      <c r="D21" s="53" t="n"/>
      <c r="E21" s="53" t="inlineStr">
        <is>
          <t>Content / UX Strategist benchmark</t>
        </is>
      </c>
    </row>
    <row r="22"/>
    <row r="23" ht="15" customHeight="1" s="46">
      <c r="A23" s="87" t="inlineStr">
        <is>
          <t>The Network — Brisbane contract day rates by experience</t>
        </is>
      </c>
    </row>
    <row r="24" ht="15" customHeight="1" s="46">
      <c r="A24" s="51" t="inlineStr">
        <is>
          <t>Source: Salary Guide for 2025, The Network, Brisbane chapter (Project Services &amp; Transformation, Software Engineering, Testing tables; contract rate per day AUD).</t>
        </is>
      </c>
    </row>
    <row r="25" ht="15" customHeight="1" s="46">
      <c r="A25" s="88" t="inlineStr">
        <is>
          <t>Role</t>
        </is>
      </c>
      <c r="B25" s="88" t="inlineStr">
        <is>
          <t>2–5 yrs ($/day)</t>
        </is>
      </c>
      <c r="C25" s="88" t="inlineStr">
        <is>
          <t>5–10 yrs ($/day)</t>
        </is>
      </c>
      <c r="D25" s="88" t="inlineStr">
        <is>
          <t>10+ yrs ($/day)</t>
        </is>
      </c>
      <c r="E25" s="88" t="inlineStr">
        <is>
          <t>Note</t>
        </is>
      </c>
    </row>
    <row r="26" ht="15" customHeight="1" s="46">
      <c r="A26" s="53" t="inlineStr">
        <is>
          <t>Business Analyst</t>
        </is>
      </c>
      <c r="B26" s="53" t="inlineStr">
        <is>
          <t>570–810</t>
        </is>
      </c>
      <c r="C26" s="53" t="inlineStr">
        <is>
          <t>810–1045</t>
        </is>
      </c>
      <c r="D26" s="53" t="inlineStr">
        <is>
          <t>950–1045</t>
        </is>
      </c>
      <c r="E26" s="53" t="n"/>
    </row>
    <row r="27" ht="15" customHeight="1" s="46">
      <c r="A27" s="53" t="inlineStr">
        <is>
          <t>Change Manager</t>
        </is>
      </c>
      <c r="B27" s="53" t="inlineStr">
        <is>
          <t>715–905</t>
        </is>
      </c>
      <c r="C27" s="53" t="inlineStr">
        <is>
          <t>905–1045</t>
        </is>
      </c>
      <c r="D27" s="53" t="inlineStr">
        <is>
          <t>950–1190</t>
        </is>
      </c>
      <c r="E27" s="53" t="n"/>
    </row>
    <row r="28" ht="15" customHeight="1" s="46">
      <c r="A28" s="53" t="inlineStr">
        <is>
          <t>Organisational Change Manager</t>
        </is>
      </c>
      <c r="B28" s="53" t="inlineStr">
        <is>
          <t>715–855</t>
        </is>
      </c>
      <c r="C28" s="53" t="inlineStr">
        <is>
          <t>855–1140</t>
        </is>
      </c>
      <c r="D28" s="53" t="inlineStr">
        <is>
          <t>950–1140</t>
        </is>
      </c>
      <c r="E28" s="53" t="n"/>
    </row>
    <row r="29" ht="15" customHeight="1" s="46">
      <c r="A29" s="53" t="inlineStr">
        <is>
          <t>Test Manager</t>
        </is>
      </c>
      <c r="B29" s="53" t="inlineStr">
        <is>
          <t>570–715</t>
        </is>
      </c>
      <c r="C29" s="53" t="inlineStr">
        <is>
          <t>715–855</t>
        </is>
      </c>
      <c r="D29" s="53" t="inlineStr">
        <is>
          <t>760–950</t>
        </is>
      </c>
      <c r="E29" s="53" t="n"/>
    </row>
    <row r="30" ht="15" customHeight="1" s="46">
      <c r="A30" s="53" t="inlineStr">
        <is>
          <t>QA Test Manager</t>
        </is>
      </c>
      <c r="B30" s="53" t="inlineStr">
        <is>
          <t>530–760</t>
        </is>
      </c>
      <c r="C30" s="53" t="inlineStr">
        <is>
          <t>685–855</t>
        </is>
      </c>
      <c r="D30" s="53" t="inlineStr">
        <is>
          <t>760–930</t>
        </is>
      </c>
      <c r="E30" s="53" t="n"/>
    </row>
    <row r="31" ht="15" customHeight="1" s="46">
      <c r="A31" s="53" t="inlineStr">
        <is>
          <t>Front End Developer</t>
        </is>
      </c>
      <c r="B31" s="53" t="inlineStr">
        <is>
          <t>525–810</t>
        </is>
      </c>
      <c r="C31" s="53" t="inlineStr">
        <is>
          <t>760–905</t>
        </is>
      </c>
      <c r="D31" s="53" t="inlineStr">
        <is>
          <t>855–1140</t>
        </is>
      </c>
      <c r="E31" s="53" t="n"/>
    </row>
    <row r="32" ht="15" customHeight="1" s="46">
      <c r="A32" s="53" t="inlineStr">
        <is>
          <t>Backend Developer</t>
        </is>
      </c>
      <c r="B32" s="53" t="inlineStr">
        <is>
          <t>525–715</t>
        </is>
      </c>
      <c r="C32" s="53" t="inlineStr">
        <is>
          <t>665–855</t>
        </is>
      </c>
      <c r="D32" s="53" t="inlineStr">
        <is>
          <t>760–950</t>
        </is>
      </c>
      <c r="E32" s="53" t="n"/>
    </row>
    <row r="33" ht="15" customHeight="1" s="46">
      <c r="A33" s="53" t="inlineStr">
        <is>
          <t>Full Stack Developer</t>
        </is>
      </c>
      <c r="B33" s="53" t="inlineStr">
        <is>
          <t>475–715</t>
        </is>
      </c>
      <c r="C33" s="53" t="inlineStr">
        <is>
          <t>715–855</t>
        </is>
      </c>
      <c r="D33" s="53" t="inlineStr">
        <is>
          <t>855–1235</t>
        </is>
      </c>
      <c r="E33" s="53" t="n"/>
    </row>
    <row r="34" ht="15" customHeight="1" s="46">
      <c r="A34" s="53" t="inlineStr">
        <is>
          <t>Java / .NET Developer</t>
        </is>
      </c>
      <c r="B34" s="53" t="inlineStr">
        <is>
          <t>380–620</t>
        </is>
      </c>
      <c r="C34" s="53" t="inlineStr">
        <is>
          <t>570–760</t>
        </is>
      </c>
      <c r="D34" s="53" t="inlineStr">
        <is>
          <t>760–950</t>
        </is>
      </c>
      <c r="E34" s="53" t="n"/>
    </row>
    <row r="35" ht="15" customHeight="1" s="46">
      <c r="A35" s="53" t="inlineStr">
        <is>
          <t>Project Manager</t>
        </is>
      </c>
      <c r="B35" s="53" t="inlineStr">
        <is>
          <t>715–1000</t>
        </is>
      </c>
      <c r="C35" s="53" t="inlineStr">
        <is>
          <t>855–1140</t>
        </is>
      </c>
      <c r="D35" s="53" t="inlineStr">
        <is>
          <t>1000–1235</t>
        </is>
      </c>
      <c r="E35" s="53" t="n"/>
    </row>
    <row r="36" ht="15" customHeight="1" s="46">
      <c r="A36" s="53" t="inlineStr">
        <is>
          <t>Program Manager</t>
        </is>
      </c>
      <c r="B36" s="53" t="inlineStr">
        <is>
          <t>1045–1285</t>
        </is>
      </c>
      <c r="C36" s="53" t="inlineStr">
        <is>
          <t>1285–1380</t>
        </is>
      </c>
      <c r="D36" s="53" t="inlineStr">
        <is>
          <t>1380–1475</t>
        </is>
      </c>
      <c r="E36" s="53" t="inlineStr">
        <is>
          <t>Principal rate benchmark</t>
        </is>
      </c>
    </row>
    <row r="37" ht="15" customHeight="1" s="46">
      <c r="A37" s="53" t="inlineStr">
        <is>
          <t>UX/UI Designer</t>
        </is>
      </c>
      <c r="B37" s="53" t="inlineStr">
        <is>
          <t>570–905</t>
        </is>
      </c>
      <c r="C37" s="53" t="inlineStr">
        <is>
          <t>905–1045</t>
        </is>
      </c>
      <c r="D37" s="53" t="inlineStr">
        <is>
          <t>1045–1140</t>
        </is>
      </c>
      <c r="E37" s="53" t="inlineStr">
        <is>
          <t>Content / UX Strategist benchmark</t>
        </is>
      </c>
    </row>
    <row r="38"/>
    <row r="39" ht="15" customHeight="1" s="46">
      <c r="A39" s="87" t="inlineStr">
        <is>
          <t>Hays Salary Guide — QLD permanent salaries (context only)</t>
        </is>
      </c>
    </row>
    <row r="40" ht="15" customHeight="1" s="46">
      <c r="A40" s="51" t="inlineStr">
        <is>
          <t>Source: Hays Salary Guide FY25-26, Technology chapter, QLD rows (salaries in $'000 p.a., excluding super — no contract day rates published; useful as a pay-rate sanity check only).</t>
        </is>
      </c>
    </row>
    <row r="41" ht="15" customHeight="1" s="46">
      <c r="A41" s="88" t="inlineStr">
        <is>
          <t>Role</t>
        </is>
      </c>
      <c r="B41" s="88" t="inlineStr">
        <is>
          <t>Typical ($k)</t>
        </is>
      </c>
      <c r="C41" s="88" t="inlineStr">
        <is>
          <t>Range ($k)</t>
        </is>
      </c>
      <c r="D41" s="88" t="n"/>
      <c r="E41" s="88" t="inlineStr">
        <is>
          <t>Note</t>
        </is>
      </c>
    </row>
    <row r="42" ht="15" customHeight="1" s="46">
      <c r="A42" s="53" t="inlineStr">
        <is>
          <t>Business Analyst</t>
        </is>
      </c>
      <c r="B42" s="53" t="n">
        <v>110</v>
      </c>
      <c r="C42" s="53" t="inlineStr">
        <is>
          <t>100–130</t>
        </is>
      </c>
      <c r="D42" s="53" t="n"/>
      <c r="E42" s="53" t="n"/>
    </row>
    <row r="43" ht="15" customHeight="1" s="46">
      <c r="A43" s="53" t="inlineStr">
        <is>
          <t>Senior Business Analyst</t>
        </is>
      </c>
      <c r="B43" s="53" t="n">
        <v>130</v>
      </c>
      <c r="C43" s="53" t="inlineStr">
        <is>
          <t>110–150</t>
        </is>
      </c>
      <c r="D43" s="53" t="n"/>
      <c r="E43" s="53" t="n"/>
    </row>
    <row r="44" ht="15" customHeight="1" s="46">
      <c r="A44" s="53" t="inlineStr">
        <is>
          <t>Change Manager</t>
        </is>
      </c>
      <c r="B44" s="53" t="n">
        <v>140</v>
      </c>
      <c r="C44" s="53" t="inlineStr">
        <is>
          <t>110–160</t>
        </is>
      </c>
      <c r="D44" s="53" t="n"/>
      <c r="E44" s="53" t="n"/>
    </row>
    <row r="45" ht="15" customHeight="1" s="46">
      <c r="A45" s="53" t="inlineStr">
        <is>
          <t>Senior Change Manager</t>
        </is>
      </c>
      <c r="B45" s="53" t="n">
        <v>150</v>
      </c>
      <c r="C45" s="53" t="inlineStr">
        <is>
          <t>130–200</t>
        </is>
      </c>
      <c r="D45" s="53" t="n"/>
      <c r="E45" s="53" t="n"/>
    </row>
    <row r="46" ht="15" customHeight="1" s="46">
      <c r="A46" s="53" t="inlineStr">
        <is>
          <t>Software Engineer</t>
        </is>
      </c>
      <c r="B46" s="53" t="n">
        <v>110</v>
      </c>
      <c r="C46" s="53" t="inlineStr">
        <is>
          <t>100–130</t>
        </is>
      </c>
      <c r="D46" s="53" t="n"/>
      <c r="E46" s="53" t="n"/>
    </row>
    <row r="47" ht="15" customHeight="1" s="46">
      <c r="A47" s="53" t="inlineStr">
        <is>
          <t>Senior Software Engineer</t>
        </is>
      </c>
      <c r="B47" s="53" t="n">
        <v>120</v>
      </c>
      <c r="C47" s="53" t="inlineStr">
        <is>
          <t>120–160</t>
        </is>
      </c>
      <c r="D47" s="53" t="n"/>
      <c r="E47" s="53" t="n"/>
    </row>
    <row r="48" ht="15" customHeight="1" s="46">
      <c r="A48" s="53" t="inlineStr">
        <is>
          <t>Full Stack Software Engineer</t>
        </is>
      </c>
      <c r="B48" s="53" t="n">
        <v>130</v>
      </c>
      <c r="C48" s="53" t="inlineStr">
        <is>
          <t>120–160</t>
        </is>
      </c>
      <c r="D48" s="53" t="n"/>
      <c r="E48" s="53" t="n"/>
    </row>
    <row r="49" ht="15" customHeight="1" s="46">
      <c r="A49" s="53" t="inlineStr">
        <is>
          <t>Test / QA Manager</t>
        </is>
      </c>
      <c r="B49" s="53" t="n">
        <v>125</v>
      </c>
      <c r="C49" s="53" t="inlineStr">
        <is>
          <t>120–160</t>
        </is>
      </c>
      <c r="D49" s="53" t="n"/>
      <c r="E49" s="53" t="n"/>
    </row>
    <row r="50" ht="15" customHeight="1" s="46">
      <c r="A50" s="53" t="inlineStr">
        <is>
          <t>Senior Project Manager</t>
        </is>
      </c>
      <c r="B50" s="53" t="n">
        <v>160</v>
      </c>
      <c r="C50" s="53" t="inlineStr">
        <is>
          <t>140–180</t>
        </is>
      </c>
      <c r="D50" s="53" t="n"/>
      <c r="E50" s="53" t="n"/>
    </row>
    <row r="51" ht="15" customHeight="1" s="46">
      <c r="A51" s="53" t="inlineStr">
        <is>
          <t>Program Manager</t>
        </is>
      </c>
      <c r="B51" s="53" t="n">
        <v>175</v>
      </c>
      <c r="C51" s="53" t="inlineStr">
        <is>
          <t>150–200</t>
        </is>
      </c>
      <c r="D51" s="53" t="n"/>
      <c r="E51" s="53" t="n"/>
    </row>
    <row r="52" ht="15" customHeight="1" s="46">
      <c r="A52" s="53" t="inlineStr">
        <is>
          <t>Content Writer (Brisbane, Marketing &amp; Digital)</t>
        </is>
      </c>
      <c r="B52" s="53" t="n">
        <v>95</v>
      </c>
      <c r="C52" s="53" t="inlineStr">
        <is>
          <t>85–105</t>
        </is>
      </c>
      <c r="D52" s="53" t="n"/>
      <c r="E52" s="53" t="inlineStr">
        <is>
          <t>≈ $480–550/day contractor-equivalent</t>
        </is>
      </c>
    </row>
    <row r="53"/>
    <row r="54" ht="15" customHeight="1" s="46">
      <c r="A54" s="87" t="inlineStr">
        <is>
          <t>Published client bands — as printed in the Vantage Meridian Salary Guide 2026</t>
        </is>
      </c>
    </row>
    <row r="55" ht="15" customHeight="1" s="46">
      <c r="A55" s="51" t="inlineStr">
        <is>
          <t>Source: Preserved from the retired '260804 Vantage Meridian Rates and Market Guide' (removed 4 Aug 2026). Agency-billed = contractor rate + typical 15–20% agency margin. Vantage Meridian rate shown for position check.</t>
        </is>
      </c>
    </row>
    <row r="56" ht="23.85" customHeight="1" s="46">
      <c r="A56" s="88" t="inlineStr">
        <is>
          <t>Role</t>
        </is>
      </c>
      <c r="B56" s="88" t="inlineStr">
        <is>
          <t>Contractor ($/day)</t>
        </is>
      </c>
      <c r="C56" s="88" t="inlineStr">
        <is>
          <t>Agency-billed ($/day)</t>
        </is>
      </c>
      <c r="D56" s="88" t="inlineStr">
        <is>
          <t>Vantage Meridian rate ($/day)</t>
        </is>
      </c>
      <c r="E56" s="88" t="inlineStr">
        <is>
          <t>Note</t>
        </is>
      </c>
    </row>
    <row r="57" ht="15" customHeight="1" s="46">
      <c r="A57" s="53" t="inlineStr">
        <is>
          <t>Program &amp; Delivery Leadership</t>
        </is>
      </c>
      <c r="B57" s="53" t="inlineStr">
        <is>
          <t>1,150–1,500</t>
        </is>
      </c>
      <c r="C57" s="53" t="inlineStr">
        <is>
          <t>1,325–1,800</t>
        </is>
      </c>
      <c r="D57" s="53" t="inlineStr">
        <is>
          <t>1,550 (Principal)</t>
        </is>
      </c>
      <c r="E57" s="53" t="n"/>
    </row>
    <row r="58" ht="15" customHeight="1" s="46">
      <c r="A58" s="53" t="inlineStr">
        <is>
          <t>Business Analyst (senior)</t>
        </is>
      </c>
      <c r="B58" s="53" t="inlineStr">
        <is>
          <t>900–1,215</t>
        </is>
      </c>
      <c r="C58" s="53" t="inlineStr">
        <is>
          <t>1,035–1,460</t>
        </is>
      </c>
      <c r="D58" s="53" t="inlineStr">
        <is>
          <t>1,400</t>
        </is>
      </c>
      <c r="E58" s="53" t="n"/>
    </row>
    <row r="59" ht="15" customHeight="1" s="46">
      <c r="A59" s="53" t="inlineStr">
        <is>
          <t>Change Manager (senior)</t>
        </is>
      </c>
      <c r="B59" s="53" t="inlineStr">
        <is>
          <t>900–1,250</t>
        </is>
      </c>
      <c r="C59" s="53" t="inlineStr">
        <is>
          <t>1,035–1,500</t>
        </is>
      </c>
      <c r="D59" s="53" t="inlineStr">
        <is>
          <t>1,400</t>
        </is>
      </c>
      <c r="E59" s="53" t="n"/>
    </row>
    <row r="60" ht="15" customHeight="1" s="46">
      <c r="A60" s="53" t="inlineStr">
        <is>
          <t>Test Manager</t>
        </is>
      </c>
      <c r="B60" s="53" t="inlineStr">
        <is>
          <t>760–1,200</t>
        </is>
      </c>
      <c r="C60" s="53" t="inlineStr">
        <is>
          <t>875–1,440</t>
        </is>
      </c>
      <c r="D60" s="53" t="inlineStr">
        <is>
          <t>1,400</t>
        </is>
      </c>
      <c r="E60" s="53" t="n"/>
    </row>
    <row r="61" ht="15" customHeight="1" s="46">
      <c r="A61" s="53" t="inlineStr">
        <is>
          <t>Developer — senior</t>
        </is>
      </c>
      <c r="B61" s="53" t="inlineStr">
        <is>
          <t>760–1,235</t>
        </is>
      </c>
      <c r="C61" s="53" t="inlineStr">
        <is>
          <t>875–1,480</t>
        </is>
      </c>
      <c r="D61" s="53" t="inlineStr">
        <is>
          <t>1,360</t>
        </is>
      </c>
      <c r="E61" s="53" t="n"/>
    </row>
    <row r="62" ht="15" customHeight="1" s="46">
      <c r="A62" s="53" t="inlineStr">
        <is>
          <t>Developer — mid-level</t>
        </is>
      </c>
      <c r="B62" s="53" t="inlineStr">
        <is>
          <t>665–905</t>
        </is>
      </c>
      <c r="C62" s="53" t="inlineStr">
        <is>
          <t>765–1,085</t>
        </is>
      </c>
      <c r="D62" s="53" t="inlineStr">
        <is>
          <t>1,120</t>
        </is>
      </c>
      <c r="E62" s="53" t="n"/>
    </row>
    <row r="63" ht="15" customHeight="1" s="46">
      <c r="A63" s="53" t="inlineStr">
        <is>
          <t>Developer — junior</t>
        </is>
      </c>
      <c r="B63" s="53" t="inlineStr">
        <is>
          <t>400–810</t>
        </is>
      </c>
      <c r="C63" s="53" t="inlineStr">
        <is>
          <t>460–970</t>
        </is>
      </c>
      <c r="D63" s="53" t="inlineStr">
        <is>
          <t>880</t>
        </is>
      </c>
      <c r="E63" s="53" t="inlineStr">
        <is>
          <t>Added 4 Aug 2026</t>
        </is>
      </c>
    </row>
    <row r="64" ht="15" customHeight="1" s="46">
      <c r="A64" s="53" t="inlineStr">
        <is>
          <t>Copywriter / Content Specialist</t>
        </is>
      </c>
      <c r="B64" s="53" t="inlineStr">
        <is>
          <t>750–1,100</t>
        </is>
      </c>
      <c r="C64" s="53" t="inlineStr">
        <is>
          <t>865–1,320</t>
        </is>
      </c>
      <c r="D64" s="53" t="inlineStr">
        <is>
          <t>840</t>
        </is>
      </c>
      <c r="E64" s="53" t="inlineStr">
        <is>
          <t>Added 4 Aug 2026</t>
        </is>
      </c>
    </row>
    <row r="65" ht="15" customHeight="1" s="46">
      <c r="A65" s="53" t="inlineStr">
        <is>
          <t>Content / UX Strategist</t>
        </is>
      </c>
      <c r="B65" s="53" t="inlineStr">
        <is>
          <t>800–1,140</t>
        </is>
      </c>
      <c r="C65" s="53" t="inlineStr">
        <is>
          <t>920–1,370</t>
        </is>
      </c>
      <c r="D65" s="53" t="inlineStr">
        <is>
          <t>1,120</t>
        </is>
      </c>
      <c r="E65" s="53" t="inlineStr">
        <is>
          <t>Added 4 Aug 2026</t>
        </is>
      </c>
    </row>
    <row r="66"/>
    <row r="67" ht="15" customHeight="1" s="46">
      <c r="A67" s="60" t="inlineStr">
        <is>
          <t>Published engagement terms (carried in the Salary Guide): all rates AUD per day, exclusive of GST, valid 90 days from issue; delivery on client site or remote with practitioners providing their own equipment; every engagement includes senior principal oversight and a single point of accountability; fixed-price and outcome-based pricing available on request for defined scopes; one contract, one monthly invoice.</t>
        </is>
      </c>
    </row>
    <row r="68" ht="15" customHeight="1" s="46"/>
    <row r="69" ht="15" customHeight="1" s="46"/>
    <row r="70"/>
    <row r="71" ht="15" customHeight="1" s="46">
      <c r="A71" s="60" t="inlineStr">
        <is>
          <t>How the Margin Model market bands were set: mid dev = Network Brisbane 5–10 yr band; senior dev = Network 10+ yr / Peoplebank QLD span; BA / CM / Test Manager = span of Peoplebank QLD and Network Brisbane senior bands.</t>
        </is>
      </c>
    </row>
    <row r="72" ht="15" customHeight="1" s="46"/>
  </sheetData>
  <mergeCells count="7">
    <mergeCell ref="A55:E55"/>
    <mergeCell ref="A67:E69"/>
    <mergeCell ref="A24:E24"/>
    <mergeCell ref="A2:E2"/>
    <mergeCell ref="A5:E5"/>
    <mergeCell ref="A71:E72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2026-08-04T04:23:49Z</dcterms:created>
  <dcterms:modified xmlns:dcterms="http://purl.org/dc/terms/" xmlns:xsi="http://www.w3.org/2001/XMLSchema-instance" xsi:type="dcterms:W3CDTF">2026-08-07T08:11:26Z</dcterms:modified>
  <cp:revision>0</cp:revision>
</cp:coreProperties>
</file>